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D2A24"/>
      <sz val="16"/>
    </font>
    <font>
      <name val="Calibri"/>
      <i val="1"/>
      <color rgb="005E6D65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000FF"/>
    </font>
    <font>
      <b val="1"/>
    </font>
    <font>
      <b val="1"/>
      <color rgb="001D2A24"/>
      <sz val="16"/>
    </font>
    <font>
      <b val="1"/>
      <color rgb="001D2A24"/>
      <sz val="13"/>
    </font>
    <font/>
  </fonts>
  <fills count="5">
    <fill>
      <patternFill/>
    </fill>
    <fill>
      <patternFill patternType="gray125"/>
    </fill>
    <fill>
      <patternFill patternType="solid">
        <fgColor rgb="005F8570"/>
      </patternFill>
    </fill>
    <fill>
      <patternFill patternType="solid">
        <fgColor rgb="00F7FAF8"/>
      </patternFill>
    </fill>
    <fill>
      <patternFill patternType="solid">
        <fgColor rgb="00E6F0EA"/>
      </patternFill>
    </fill>
  </fills>
  <borders count="2">
    <border>
      <left/>
      <right/>
      <top/>
      <bottom/>
      <diagonal/>
    </border>
    <border>
      <left style="thin">
        <color rgb="00D8E3DC"/>
      </left>
      <right style="thin">
        <color rgb="00D8E3DC"/>
      </right>
      <top style="thin">
        <color rgb="00D8E3DC"/>
      </top>
      <bottom style="thin">
        <color rgb="00D8E3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9" fontId="6" fillId="0" borderId="0" pivotButton="0" quotePrefix="0" xfId="0"/>
    <xf numFmtId="0" fontId="8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0" fillId="4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B7E1C1"/>
          <bgColor rgb="00B7E1C1"/>
        </patternFill>
      </fill>
    </dxf>
    <dxf>
      <fill>
        <patternFill patternType="solid">
          <fgColor rgb="00FFE9A8"/>
          <bgColor rgb="00FFE9A8"/>
        </patternFill>
      </fill>
    </dxf>
    <dxf>
      <fill>
        <patternFill patternType="solid">
          <fgColor rgb="00F4C7C3"/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FTLR Fitness: revenue summary</t>
        </is>
      </c>
    </row>
    <row r="3">
      <c r="A3" s="2" t="inlineStr">
        <is>
          <t>Fiverr fee rate</t>
        </is>
      </c>
      <c r="B3" s="3" t="n">
        <v>0.2</v>
      </c>
      <c r="C3" t="inlineStr">
        <is>
          <t>Check your own Fiverr dashboard and change this if your fee differs.</t>
        </is>
      </c>
    </row>
    <row r="4">
      <c r="A4" s="4" t="inlineStr">
        <is>
          <t>Your target (gross)</t>
        </is>
      </c>
      <c r="B4" s="5" t="n">
        <v>5000</v>
      </c>
    </row>
    <row r="5">
      <c r="A5" s="2" t="inlineStr">
        <is>
          <t>Care plan per month</t>
        </is>
      </c>
      <c r="B5" s="5" t="n">
        <v>199</v>
      </c>
    </row>
    <row r="6">
      <c r="A6" s="2" t="inlineStr">
        <is>
          <t>Care plan months in first 90 days</t>
        </is>
      </c>
      <c r="B6" s="6" t="n">
        <v>3</v>
      </c>
    </row>
    <row r="7">
      <c r="A7" s="2" t="inlineStr">
        <is>
          <t>Planned one time total (gross)</t>
        </is>
      </c>
      <c r="B7" s="7">
        <f>Roadmap!H21</f>
        <v/>
      </c>
    </row>
    <row r="8">
      <c r="A8" s="2" t="inlineStr">
        <is>
          <t>Planned one time total (net after fee)</t>
        </is>
      </c>
      <c r="B8" s="7">
        <f>Roadmap!J21</f>
        <v/>
      </c>
    </row>
    <row r="9">
      <c r="A9" s="2" t="inlineStr">
        <is>
          <t>Care plan over the period (gross)</t>
        </is>
      </c>
      <c r="B9" s="7">
        <f>B5*B6</f>
        <v/>
      </c>
    </row>
    <row r="10">
      <c r="A10" s="2" t="inlineStr">
        <is>
          <t>Planned total including care plan (gross)</t>
        </is>
      </c>
      <c r="B10" s="7">
        <f>B7+B9</f>
        <v/>
      </c>
    </row>
    <row r="11">
      <c r="A11" s="2" t="inlineStr">
        <is>
          <t>Gap to target (gross, one time only)</t>
        </is>
      </c>
      <c r="B11" s="7">
        <f>B4-B7</f>
        <v/>
      </c>
    </row>
    <row r="12">
      <c r="A12" s="2" t="inlineStr">
        <is>
          <t>Paid so far (gross)</t>
        </is>
      </c>
      <c r="B12" s="7">
        <f>SUMIF(Roadmap!K5:K20,"Paid",Roadmap!H5:H20)</f>
        <v/>
      </c>
    </row>
    <row r="13">
      <c r="A13" s="2" t="inlineStr">
        <is>
          <t>Accepted or delivered, not yet paid</t>
        </is>
      </c>
      <c r="B13" s="7">
        <f>SUMIF(Roadmap!K5:K20,"Accepted",Roadmap!H5:H20)+SUMIF(Roadmap!K5:K20,"Delivered",Roadmap!H5:H20)</f>
        <v/>
      </c>
    </row>
    <row r="14">
      <c r="A14" s="2" t="inlineStr">
        <is>
          <t>Offered, waiting for her yes</t>
        </is>
      </c>
      <c r="B14" s="7">
        <f>SUMIF(Roadmap!K5:K20,"Offered",Roadmap!H5:H20)</f>
        <v/>
      </c>
    </row>
    <row r="15">
      <c r="A15" s="2" t="inlineStr">
        <is>
          <t>Progress to target</t>
        </is>
      </c>
      <c r="B15" s="8">
        <f>B12/B4</f>
        <v/>
      </c>
    </row>
    <row r="17">
      <c r="A17" s="9" t="inlineStr">
        <is>
          <t>By phase</t>
        </is>
      </c>
    </row>
    <row r="18">
      <c r="A18" t="inlineStr">
        <is>
          <t>Launch ready</t>
        </is>
      </c>
      <c r="B18" s="10">
        <f>SUMIF(Roadmap!B5:B20,A18,Roadmap!H5:H20)</f>
        <v/>
      </c>
    </row>
    <row r="19">
      <c r="A19" t="inlineStr">
        <is>
          <t>Launch week</t>
        </is>
      </c>
      <c r="B19" s="10">
        <f>SUMIF(Roadmap!B5:B20,A19,Roadmap!H5:H20)</f>
        <v/>
      </c>
    </row>
    <row r="20">
      <c r="A20" t="inlineStr">
        <is>
          <t>Build the habit</t>
        </is>
      </c>
      <c r="B20" s="10">
        <f>SUMIF(Roadmap!B5:B20,A20,Roadmap!H5:H20)</f>
        <v/>
      </c>
    </row>
    <row r="21">
      <c r="A21" t="inlineStr">
        <is>
          <t>Grow</t>
        </is>
      </c>
      <c r="B21" s="10">
        <f>SUMIF(Roadmap!B5:B20,A21,Roadmap!H5:H20)</f>
        <v/>
      </c>
    </row>
    <row r="23">
      <c r="A23" s="9" t="inlineStr">
        <is>
          <t>Cash by month (gross, if every item is accepted)</t>
        </is>
      </c>
    </row>
    <row r="24">
      <c r="A24" t="inlineStr">
        <is>
          <t>Oct 2026</t>
        </is>
      </c>
      <c r="B24" s="10">
        <f>SUMIF(Roadmap!G5:G20,A24,Roadmap!H5:H20)</f>
        <v/>
      </c>
    </row>
    <row r="25">
      <c r="A25" t="inlineStr">
        <is>
          <t>Nov 2026</t>
        </is>
      </c>
      <c r="B25" s="10">
        <f>SUMIF(Roadmap!G5:G20,A25,Roadmap!H5:H20)</f>
        <v/>
      </c>
    </row>
    <row r="26">
      <c r="A26" t="inlineStr">
        <is>
          <t>Dec 2026</t>
        </is>
      </c>
      <c r="B26" s="10">
        <f>SUMIF(Roadmap!G5:G20,A26,Roadmap!H5:H20)</f>
        <v/>
      </c>
    </row>
    <row r="27">
      <c r="A27" t="inlineStr">
        <is>
          <t>Jan 2027</t>
        </is>
      </c>
      <c r="B27" s="10">
        <f>SUMIF(Roadmap!G5:G20,A27,Roadmap!H5:H20)</f>
        <v/>
      </c>
    </row>
    <row r="29">
      <c r="A29" t="inlineStr">
        <is>
          <t>Check: months add up to total</t>
        </is>
      </c>
      <c r="B29">
        <f>IF(SUM(B24:B27)=B7,"OK","CHECK")</f>
        <v/>
      </c>
    </row>
    <row r="31">
      <c r="A31" s="9" t="inlineStr">
        <is>
          <t>Rules</t>
        </is>
      </c>
    </row>
    <row r="32">
      <c r="A32" t="inlineStr">
        <is>
          <t>1. One open offer at a time. Deliver, get her approval, then offer the next.</t>
        </is>
      </c>
    </row>
    <row r="33">
      <c r="A33" t="inlineStr">
        <is>
          <t>2. Every offer is a Fiverr custom offer. Never take payment outside Fiverr.</t>
        </is>
      </c>
    </row>
    <row r="34">
      <c r="A34" t="inlineStr">
        <is>
          <t>3. Start work only after the milestone is funded.</t>
        </is>
      </c>
    </row>
    <row r="35">
      <c r="A35" t="inlineStr">
        <is>
          <t>4. Each offer has a written scope. Anything extra is quoted separately.</t>
        </is>
      </c>
    </row>
    <row r="36">
      <c r="A36" t="inlineStr">
        <is>
          <t>5. Always lead with value: show a result first, then offer the next step.</t>
        </is>
      </c>
    </row>
    <row r="37">
      <c r="A37" t="inlineStr">
        <is>
          <t>6. If she says no or not now, mark Declined or move it later. Never push.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6" customWidth="1" min="4" max="4"/>
    <col width="38" customWidth="1" min="5" max="5"/>
    <col width="28" customWidth="1" min="6" max="6"/>
    <col width="11" customWidth="1" min="7" max="7"/>
    <col width="12" customWidth="1" min="8" max="8"/>
    <col width="11" customWidth="1" min="9" max="9"/>
    <col width="12" customWidth="1" min="10" max="10"/>
    <col width="14" customWidth="1" min="11" max="11"/>
    <col width="13" customWidth="1" min="12" max="12"/>
    <col width="30" customWidth="1" min="13" max="13"/>
  </cols>
  <sheetData>
    <row r="1">
      <c r="A1" s="11" t="inlineStr">
        <is>
          <t>FTLR Fitness: drip billing roadmap (internal, do not send)</t>
        </is>
      </c>
    </row>
    <row r="2">
      <c r="A2" s="12" t="inlineStr">
        <is>
          <t>One small yes at a time. Send ONE Fiverr offer, deliver it, get approval, then offer the next. Blue cells are inputs you can change.</t>
        </is>
      </c>
    </row>
    <row r="4">
      <c r="A4" s="13" t="inlineStr">
        <is>
          <t>#</t>
        </is>
      </c>
      <c r="B4" s="13" t="inlineStr">
        <is>
          <t>Phase</t>
        </is>
      </c>
      <c r="C4" s="13" t="inlineStr">
        <is>
          <t>Offer</t>
        </is>
      </c>
      <c r="D4" s="13" t="inlineStr">
        <is>
          <t>What she gets</t>
        </is>
      </c>
      <c r="E4" s="13" t="inlineStr">
        <is>
          <t>Why now (value to Leah)</t>
        </is>
      </c>
      <c r="F4" s="13" t="inlineStr">
        <is>
          <t>Offer it when</t>
        </is>
      </c>
      <c r="G4" s="13" t="inlineStr">
        <is>
          <t>Month</t>
        </is>
      </c>
      <c r="H4" s="13" t="inlineStr">
        <is>
          <t>Price (USD)</t>
        </is>
      </c>
      <c r="I4" s="13" t="inlineStr">
        <is>
          <t>Fiverr fee</t>
        </is>
      </c>
      <c r="J4" s="13" t="inlineStr">
        <is>
          <t>Net to you</t>
        </is>
      </c>
      <c r="K4" s="13" t="inlineStr">
        <is>
          <t>Status</t>
        </is>
      </c>
      <c r="L4" s="13" t="inlineStr">
        <is>
          <t>Date offered</t>
        </is>
      </c>
      <c r="M4" s="13" t="inlineStr">
        <is>
          <t>Notes</t>
        </is>
      </c>
    </row>
    <row r="5" ht="46" customHeight="1">
      <c r="A5" s="14" t="n">
        <v>1</v>
      </c>
      <c r="B5" s="14" t="inlineStr">
        <is>
          <t>Launch ready</t>
        </is>
      </c>
      <c r="C5" s="14" t="inlineStr">
        <is>
          <t>App Store listing pack</t>
        </is>
      </c>
      <c r="D5" s="14" t="inlineStr">
        <is>
          <t>Name, subtitle, keywords, promotional text, checked and ready to paste</t>
        </is>
      </c>
      <c r="E5" s="14" t="inlineStr">
        <is>
          <t>Strangers find her app through the listing</t>
        </is>
      </c>
      <c r="F5" s="14" t="inlineStr">
        <is>
          <t>On the call or right after</t>
        </is>
      </c>
      <c r="G5" s="14" t="inlineStr">
        <is>
          <t>Oct 2026</t>
        </is>
      </c>
      <c r="H5" s="15" t="n">
        <v>150</v>
      </c>
      <c r="I5" s="16">
        <f>H5*Summary!$B$3</f>
        <v/>
      </c>
      <c r="J5" s="16">
        <f>H5-I5</f>
        <v/>
      </c>
      <c r="K5" s="14" t="inlineStr">
        <is>
          <t>Not offered</t>
        </is>
      </c>
      <c r="L5" s="17" t="n"/>
      <c r="M5" s="14" t="n"/>
    </row>
    <row r="6" ht="46" customHeight="1">
      <c r="A6" s="18" t="n">
        <v>2</v>
      </c>
      <c r="B6" s="18" t="inlineStr">
        <is>
          <t>Launch ready</t>
        </is>
      </c>
      <c r="C6" s="18" t="inlineStr">
        <is>
          <t>App Store screenshots, 5 designed</t>
        </is>
      </c>
      <c r="D6" s="18" t="inlineStr">
        <is>
          <t>Five captioned screenshots using her real screens, telling one story</t>
        </is>
      </c>
      <c r="E6" s="18" t="inlineStr">
        <is>
          <t>Screenshots decide who installs</t>
        </is>
      </c>
      <c r="F6" s="18" t="inlineStr">
        <is>
          <t>After the listing is approved</t>
        </is>
      </c>
      <c r="G6" s="18" t="inlineStr">
        <is>
          <t>Oct 2026</t>
        </is>
      </c>
      <c r="H6" s="19" t="n">
        <v>250</v>
      </c>
      <c r="I6" s="20">
        <f>H6*Summary!$B$3</f>
        <v/>
      </c>
      <c r="J6" s="20">
        <f>H6-I6</f>
        <v/>
      </c>
      <c r="K6" s="18" t="inlineStr">
        <is>
          <t>Not offered</t>
        </is>
      </c>
      <c r="L6" s="21" t="n"/>
      <c r="M6" s="18" t="n"/>
    </row>
    <row r="7" ht="46" customHeight="1">
      <c r="A7" s="14" t="n">
        <v>3</v>
      </c>
      <c r="B7" s="14" t="inlineStr">
        <is>
          <t>Launch ready</t>
        </is>
      </c>
      <c r="C7" s="14" t="inlineStr">
        <is>
          <t>Launch announcement pack</t>
        </is>
      </c>
      <c r="D7" s="14" t="inlineStr">
        <is>
          <t>Email, community post and pinned chat message, written in her voice</t>
        </is>
      </c>
      <c r="E7" s="14" t="inlineStr">
        <is>
          <t>Launch day needs words ready</t>
        </is>
      </c>
      <c r="F7" s="14" t="inlineStr">
        <is>
          <t>Before Nov 1</t>
        </is>
      </c>
      <c r="G7" s="14" t="inlineStr">
        <is>
          <t>Oct 2026</t>
        </is>
      </c>
      <c r="H7" s="15" t="n">
        <v>120</v>
      </c>
      <c r="I7" s="16">
        <f>H7*Summary!$B$3</f>
        <v/>
      </c>
      <c r="J7" s="16">
        <f>H7-I7</f>
        <v/>
      </c>
      <c r="K7" s="14" t="inlineStr">
        <is>
          <t>Not offered</t>
        </is>
      </c>
      <c r="L7" s="17" t="n"/>
      <c r="M7" s="14" t="n"/>
    </row>
    <row r="8" ht="46" customHeight="1">
      <c r="A8" s="18" t="n">
        <v>4</v>
      </c>
      <c r="B8" s="18" t="inlineStr">
        <is>
          <t>Launch ready</t>
        </is>
      </c>
      <c r="C8" s="18" t="inlineStr">
        <is>
          <t>Welcome and 7 day message sequence</t>
        </is>
      </c>
      <c r="D8" s="18" t="inlineStr">
        <is>
          <t>Day 0, 1, 3, 7 and 14 messages written and set up</t>
        </is>
      </c>
      <c r="E8" s="18" t="inlineStr">
        <is>
          <t>First workout in 24 hours keeps members</t>
        </is>
      </c>
      <c r="F8" s="18" t="inlineStr">
        <is>
          <t>Launch week</t>
        </is>
      </c>
      <c r="G8" s="18" t="inlineStr">
        <is>
          <t>Nov 2026</t>
        </is>
      </c>
      <c r="H8" s="19" t="n">
        <v>180</v>
      </c>
      <c r="I8" s="20">
        <f>H8*Summary!$B$3</f>
        <v/>
      </c>
      <c r="J8" s="20">
        <f>H8-I8</f>
        <v/>
      </c>
      <c r="K8" s="18" t="inlineStr">
        <is>
          <t>Not offered</t>
        </is>
      </c>
      <c r="L8" s="21" t="n"/>
      <c r="M8" s="18" t="n"/>
    </row>
    <row r="9" ht="46" customHeight="1">
      <c r="A9" s="14" t="n">
        <v>5</v>
      </c>
      <c r="B9" s="14" t="inlineStr">
        <is>
          <t>Launch week</t>
        </is>
      </c>
      <c r="C9" s="14" t="inlineStr">
        <is>
          <t>Ratings prompt at happy moments</t>
        </is>
      </c>
      <c r="D9" s="14" t="inlineStr">
        <is>
          <t>Asks for a rating after a finished workout, never at a bad time</t>
        </is>
      </c>
      <c r="E9" s="14" t="inlineStr">
        <is>
          <t>Reviews build trust and ranking</t>
        </is>
      </c>
      <c r="F9" s="14" t="inlineStr">
        <is>
          <t>After first 20 members</t>
        </is>
      </c>
      <c r="G9" s="14" t="inlineStr">
        <is>
          <t>Nov 2026</t>
        </is>
      </c>
      <c r="H9" s="15" t="n">
        <v>200</v>
      </c>
      <c r="I9" s="16">
        <f>H9*Summary!$B$3</f>
        <v/>
      </c>
      <c r="J9" s="16">
        <f>H9-I9</f>
        <v/>
      </c>
      <c r="K9" s="14" t="inlineStr">
        <is>
          <t>Not offered</t>
        </is>
      </c>
      <c r="L9" s="17" t="n"/>
      <c r="M9" s="14" t="n"/>
    </row>
    <row r="10" ht="46" customHeight="1">
      <c r="A10" s="18" t="n">
        <v>6</v>
      </c>
      <c r="B10" s="18" t="inlineStr">
        <is>
          <t>Launch week</t>
        </is>
      </c>
      <c r="C10" s="18" t="inlineStr">
        <is>
          <t>Purchase flow polish</t>
        </is>
      </c>
      <c r="D10" s="18" t="inlineStr">
        <is>
          <t>Clearer progress and faster unlock after subscribing (today about 12 seconds)</t>
        </is>
      </c>
      <c r="E10" s="18" t="inlineStr">
        <is>
          <t>Waiting after paying feels risky</t>
        </is>
      </c>
      <c r="F10" s="18" t="inlineStr">
        <is>
          <t>After first real purchases</t>
        </is>
      </c>
      <c r="G10" s="18" t="inlineStr">
        <is>
          <t>Nov 2026</t>
        </is>
      </c>
      <c r="H10" s="19" t="n">
        <v>180</v>
      </c>
      <c r="I10" s="20">
        <f>H10*Summary!$B$3</f>
        <v/>
      </c>
      <c r="J10" s="20">
        <f>H10-I10</f>
        <v/>
      </c>
      <c r="K10" s="18" t="inlineStr">
        <is>
          <t>Not offered</t>
        </is>
      </c>
      <c r="L10" s="21" t="n"/>
      <c r="M10" s="18" t="n"/>
    </row>
    <row r="11" ht="46" customHeight="1">
      <c r="A11" s="14" t="n">
        <v>7</v>
      </c>
      <c r="B11" s="14" t="inlineStr">
        <is>
          <t>Build the habit</t>
        </is>
      </c>
      <c r="C11" s="14" t="inlineStr">
        <is>
          <t>Design quick pack</t>
        </is>
      </c>
      <c r="D11" s="14" t="inlineStr">
        <is>
          <t>Sign in and home screen: 3 improvements in her brand</t>
        </is>
      </c>
      <c r="E11" s="14" t="inlineStr">
        <is>
          <t>First impression, same calm look everywhere</t>
        </is>
      </c>
      <c r="F11" s="14" t="inlineStr">
        <is>
          <t>After launch week review</t>
        </is>
      </c>
      <c r="G11" s="14" t="inlineStr">
        <is>
          <t>Nov 2026</t>
        </is>
      </c>
      <c r="H11" s="15" t="n">
        <v>350</v>
      </c>
      <c r="I11" s="16">
        <f>H11*Summary!$B$3</f>
        <v/>
      </c>
      <c r="J11" s="16">
        <f>H11-I11</f>
        <v/>
      </c>
      <c r="K11" s="14" t="inlineStr">
        <is>
          <t>Not offered</t>
        </is>
      </c>
      <c r="L11" s="17" t="n"/>
      <c r="M11" s="14" t="n"/>
    </row>
    <row r="12" ht="46" customHeight="1">
      <c r="A12" s="18" t="n">
        <v>8</v>
      </c>
      <c r="B12" s="18" t="inlineStr">
        <is>
          <t>Build the habit</t>
        </is>
      </c>
      <c r="C12" s="18" t="inlineStr">
        <is>
          <t>Onboarding flow</t>
        </is>
      </c>
      <c r="D12" s="18" t="inlineStr">
        <is>
          <t>Goal choice, first workout nudge, welcome note from Leah</t>
        </is>
      </c>
      <c r="E12" s="18" t="inlineStr">
        <is>
          <t>Turns installs into active members</t>
        </is>
      </c>
      <c r="F12" s="18" t="inlineStr">
        <is>
          <t>After design quick pack</t>
        </is>
      </c>
      <c r="G12" s="18" t="inlineStr">
        <is>
          <t>Nov 2026</t>
        </is>
      </c>
      <c r="H12" s="19" t="n">
        <v>450</v>
      </c>
      <c r="I12" s="20">
        <f>H12*Summary!$B$3</f>
        <v/>
      </c>
      <c r="J12" s="20">
        <f>H12-I12</f>
        <v/>
      </c>
      <c r="K12" s="18" t="inlineStr">
        <is>
          <t>Not offered</t>
        </is>
      </c>
      <c r="L12" s="21" t="n"/>
      <c r="M12" s="18" t="n"/>
    </row>
    <row r="13" ht="46" customHeight="1">
      <c r="A13" s="14" t="n">
        <v>9</v>
      </c>
      <c r="B13" s="14" t="inlineStr">
        <is>
          <t>Build the habit</t>
        </is>
      </c>
      <c r="C13" s="14" t="inlineStr">
        <is>
          <t>Analytics dashboard</t>
        </is>
      </c>
      <c r="D13" s="14" t="inlineStr">
        <is>
          <t>Installs, active members, revenue and cancellations in one view</t>
        </is>
      </c>
      <c r="E13" s="14" t="inlineStr">
        <is>
          <t>Fix the biggest leak first</t>
        </is>
      </c>
      <c r="F13" s="14" t="inlineStr">
        <is>
          <t>30 days after launch</t>
        </is>
      </c>
      <c r="G13" s="14" t="inlineStr">
        <is>
          <t>Dec 2026</t>
        </is>
      </c>
      <c r="H13" s="15" t="n">
        <v>400</v>
      </c>
      <c r="I13" s="16">
        <f>H13*Summary!$B$3</f>
        <v/>
      </c>
      <c r="J13" s="16">
        <f>H13-I13</f>
        <v/>
      </c>
      <c r="K13" s="14" t="inlineStr">
        <is>
          <t>Not offered</t>
        </is>
      </c>
      <c r="L13" s="17" t="n"/>
      <c r="M13" s="14" t="n"/>
    </row>
    <row r="14" ht="46" customHeight="1">
      <c r="A14" s="18" t="n">
        <v>10</v>
      </c>
      <c r="B14" s="18" t="inlineStr">
        <is>
          <t>Build the habit</t>
        </is>
      </c>
      <c r="C14" s="18" t="inlineStr">
        <is>
          <t>Workout reminders (push)</t>
        </is>
      </c>
      <c r="D14" s="18" t="inlineStr">
        <is>
          <t>Gentle reminders that bring members back</t>
        </is>
      </c>
      <c r="E14" s="18" t="inlineStr">
        <is>
          <t>Habit needs a nudge</t>
        </is>
      </c>
      <c r="F14" s="18" t="inlineStr">
        <is>
          <t>After onboarding is live</t>
        </is>
      </c>
      <c r="G14" s="18" t="inlineStr">
        <is>
          <t>Dec 2026</t>
        </is>
      </c>
      <c r="H14" s="19" t="n">
        <v>550</v>
      </c>
      <c r="I14" s="20">
        <f>H14*Summary!$B$3</f>
        <v/>
      </c>
      <c r="J14" s="20">
        <f>H14-I14</f>
        <v/>
      </c>
      <c r="K14" s="18" t="inlineStr">
        <is>
          <t>Not offered</t>
        </is>
      </c>
      <c r="L14" s="21" t="n"/>
      <c r="M14" s="18" t="n"/>
    </row>
    <row r="15" ht="46" customHeight="1">
      <c r="A15" s="14" t="n">
        <v>11</v>
      </c>
      <c r="B15" s="14" t="inlineStr">
        <is>
          <t>Grow</t>
        </is>
      </c>
      <c r="C15" s="14" t="inlineStr">
        <is>
          <t>Android, step 1: accounts and setup</t>
        </is>
      </c>
      <c r="D15" s="14" t="inlineStr">
        <is>
          <t>Google Play account, app record, billing set up</t>
        </is>
      </c>
      <c r="E15" s="14" t="inlineStr">
        <is>
          <t>Opens the other half of the market</t>
        </is>
      </c>
      <c r="F15" s="14" t="inlineStr">
        <is>
          <t>When Android demand is confirmed</t>
        </is>
      </c>
      <c r="G15" s="14" t="inlineStr">
        <is>
          <t>Dec 2026</t>
        </is>
      </c>
      <c r="H15" s="15" t="n">
        <v>250</v>
      </c>
      <c r="I15" s="16">
        <f>H15*Summary!$B$3</f>
        <v/>
      </c>
      <c r="J15" s="16">
        <f>H15-I15</f>
        <v/>
      </c>
      <c r="K15" s="14" t="inlineStr">
        <is>
          <t>Not offered</t>
        </is>
      </c>
      <c r="L15" s="17" t="n"/>
      <c r="M15" s="14" t="n"/>
    </row>
    <row r="16" ht="46" customHeight="1">
      <c r="A16" s="18" t="n">
        <v>12</v>
      </c>
      <c r="B16" s="18" t="inlineStr">
        <is>
          <t>Grow</t>
        </is>
      </c>
      <c r="C16" s="18" t="inlineStr">
        <is>
          <t>Android, step 2: build and billing</t>
        </is>
      </c>
      <c r="D16" s="18" t="inlineStr">
        <is>
          <t>Android app with the same subscriptions</t>
        </is>
      </c>
      <c r="E16" s="18" t="inlineStr">
        <is>
          <t>Same app, same plans</t>
        </is>
      </c>
      <c r="F16" s="18" t="inlineStr">
        <is>
          <t>After step 1</t>
        </is>
      </c>
      <c r="G16" s="18" t="inlineStr">
        <is>
          <t>Dec 2026</t>
        </is>
      </c>
      <c r="H16" s="19" t="n">
        <v>400</v>
      </c>
      <c r="I16" s="20">
        <f>H16*Summary!$B$3</f>
        <v/>
      </c>
      <c r="J16" s="20">
        <f>H16-I16</f>
        <v/>
      </c>
      <c r="K16" s="18" t="inlineStr">
        <is>
          <t>Not offered</t>
        </is>
      </c>
      <c r="L16" s="21" t="n"/>
      <c r="M16" s="18" t="n"/>
    </row>
    <row r="17" ht="46" customHeight="1">
      <c r="A17" s="14" t="n">
        <v>13</v>
      </c>
      <c r="B17" s="14" t="inlineStr">
        <is>
          <t>Grow</t>
        </is>
      </c>
      <c r="C17" s="14" t="inlineStr">
        <is>
          <t>Android, step 3: store listing and submission</t>
        </is>
      </c>
      <c r="D17" s="14" t="inlineStr">
        <is>
          <t>Listing, screenshots, review handling</t>
        </is>
      </c>
      <c r="E17" s="14" t="inlineStr">
        <is>
          <t>Live on Google Play</t>
        </is>
      </c>
      <c r="F17" s="14" t="inlineStr">
        <is>
          <t>After step 2</t>
        </is>
      </c>
      <c r="G17" s="14" t="inlineStr">
        <is>
          <t>Jan 2027</t>
        </is>
      </c>
      <c r="H17" s="15" t="n">
        <v>250</v>
      </c>
      <c r="I17" s="16">
        <f>H17*Summary!$B$3</f>
        <v/>
      </c>
      <c r="J17" s="16">
        <f>H17-I17</f>
        <v/>
      </c>
      <c r="K17" s="14" t="inlineStr">
        <is>
          <t>Not offered</t>
        </is>
      </c>
      <c r="L17" s="17" t="n"/>
      <c r="M17" s="14" t="n"/>
    </row>
    <row r="18" ht="46" customHeight="1">
      <c r="A18" s="18" t="n">
        <v>14</v>
      </c>
      <c r="B18" s="18" t="inlineStr">
        <is>
          <t>Grow</t>
        </is>
      </c>
      <c r="C18" s="18" t="inlineStr">
        <is>
          <t>Retention automation, step 1</t>
        </is>
      </c>
      <c r="D18" s="18" t="inlineStr">
        <is>
          <t>Welcome and win back flows designed</t>
        </is>
      </c>
      <c r="E18" s="18" t="inlineStr">
        <is>
          <t>Quiet members come back</t>
        </is>
      </c>
      <c r="F18" s="18" t="inlineStr">
        <is>
          <t>After analytics shows drop off</t>
        </is>
      </c>
      <c r="G18" s="18" t="inlineStr">
        <is>
          <t>Jan 2027</t>
        </is>
      </c>
      <c r="H18" s="19" t="n">
        <v>350</v>
      </c>
      <c r="I18" s="20">
        <f>H18*Summary!$B$3</f>
        <v/>
      </c>
      <c r="J18" s="20">
        <f>H18-I18</f>
        <v/>
      </c>
      <c r="K18" s="18" t="inlineStr">
        <is>
          <t>Not offered</t>
        </is>
      </c>
      <c r="L18" s="21" t="n"/>
      <c r="M18" s="18" t="n"/>
    </row>
    <row r="19" ht="46" customHeight="1">
      <c r="A19" s="14" t="n">
        <v>15</v>
      </c>
      <c r="B19" s="14" t="inlineStr">
        <is>
          <t>Grow</t>
        </is>
      </c>
      <c r="C19" s="14" t="inlineStr">
        <is>
          <t>Retention automation, step 2</t>
        </is>
      </c>
      <c r="D19" s="14" t="inlineStr">
        <is>
          <t>Email and text setup, testing, go live</t>
        </is>
      </c>
      <c r="E19" s="14" t="inlineStr">
        <is>
          <t>Runs on its own</t>
        </is>
      </c>
      <c r="F19" s="14" t="inlineStr">
        <is>
          <t>After step 1</t>
        </is>
      </c>
      <c r="G19" s="14" t="inlineStr">
        <is>
          <t>Jan 2027</t>
        </is>
      </c>
      <c r="H19" s="15" t="n">
        <v>400</v>
      </c>
      <c r="I19" s="16">
        <f>H19*Summary!$B$3</f>
        <v/>
      </c>
      <c r="J19" s="16">
        <f>H19-I19</f>
        <v/>
      </c>
      <c r="K19" s="14" t="inlineStr">
        <is>
          <t>Not offered</t>
        </is>
      </c>
      <c r="L19" s="17" t="n"/>
      <c r="M19" s="14" t="n"/>
    </row>
    <row r="20" ht="46" customHeight="1">
      <c r="A20" s="18" t="n">
        <v>16</v>
      </c>
      <c r="B20" s="18" t="inlineStr">
        <is>
          <t>Grow</t>
        </is>
      </c>
      <c r="C20" s="18" t="inlineStr">
        <is>
          <t>Invite a friend system</t>
        </is>
      </c>
      <c r="D20" s="18" t="inlineStr">
        <is>
          <t>Referral link with a reward for both people</t>
        </is>
      </c>
      <c r="E20" s="18" t="inlineStr">
        <is>
          <t>Cheapest growth there is</t>
        </is>
      </c>
      <c r="F20" s="18" t="inlineStr">
        <is>
          <t>After retention is live</t>
        </is>
      </c>
      <c r="G20" s="18" t="inlineStr">
        <is>
          <t>Jan 2027</t>
        </is>
      </c>
      <c r="H20" s="19" t="n">
        <v>450</v>
      </c>
      <c r="I20" s="20">
        <f>H20*Summary!$B$3</f>
        <v/>
      </c>
      <c r="J20" s="20">
        <f>H20-I20</f>
        <v/>
      </c>
      <c r="K20" s="18" t="inlineStr">
        <is>
          <t>Not offered</t>
        </is>
      </c>
      <c r="L20" s="21" t="n"/>
      <c r="M20" s="18" t="n"/>
    </row>
    <row r="21">
      <c r="A21" s="22" t="n"/>
      <c r="B21" s="22" t="n"/>
      <c r="C21" s="23" t="inlineStr">
        <is>
          <t>TOTAL (one time)</t>
        </is>
      </c>
      <c r="D21" s="22" t="n"/>
      <c r="E21" s="22" t="n"/>
      <c r="F21" s="22" t="n"/>
      <c r="G21" s="22" t="n"/>
      <c r="H21" s="24">
        <f>SUM(H5:H20)</f>
        <v/>
      </c>
      <c r="I21" s="24">
        <f>SUM(I5:I20)</f>
        <v/>
      </c>
      <c r="J21" s="24">
        <f>SUM(J5:J20)</f>
        <v/>
      </c>
      <c r="K21" s="22" t="n"/>
      <c r="L21" s="22" t="n"/>
      <c r="M21" s="22" t="n"/>
    </row>
  </sheetData>
  <conditionalFormatting sqref="K5:K20">
    <cfRule type="cellIs" priority="1" operator="equal" dxfId="0">
      <formula>"Paid"</formula>
    </cfRule>
    <cfRule type="cellIs" priority="2" operator="equal" dxfId="1">
      <formula>"Offered"</formula>
    </cfRule>
    <cfRule type="cellIs" priority="3" operator="equal" dxfId="2">
      <formula>"Declined"</formula>
    </cfRule>
  </conditionalFormatting>
  <dataValidations count="1">
    <dataValidation sqref="K5:K20" showDropDown="0" showInputMessage="0" showErrorMessage="0" allowBlank="0" type="list">
      <formula1>"Not offered,Offered,Accepted,Delivered,Paid,Declined"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Messages to send (adjust names and numbers)</t>
        </is>
      </c>
    </row>
    <row r="3">
      <c r="A3" s="25" t="inlineStr">
        <is>
          <t>Situation</t>
        </is>
      </c>
      <c r="B3" s="25" t="inlineStr">
        <is>
          <t>Message</t>
        </is>
      </c>
    </row>
    <row r="4" ht="80" customHeight="1">
      <c r="A4" s="26" t="inlineStr">
        <is>
          <t>Offer 1: Listing pack (after the call)</t>
        </is>
      </c>
      <c r="B4" s="27" t="inlineStr">
        <is>
          <t>Leah, thank you for your time today. The playbook gives you the structure. If you would like me to do the listing for you, I can write and check the App Store name, subtitle, keywords and promotional text so it is ready to paste. It is a small fixed job for $150, delivered in a short time, on Fiverr with payment protected. Shall I send the offer?</t>
        </is>
      </c>
    </row>
    <row r="5" ht="80" customHeight="1">
      <c r="A5" s="26" t="inlineStr">
        <is>
          <t>Offer 2: Screenshots (after offer 1 is delivered)</t>
        </is>
      </c>
      <c r="B5" s="27" t="inlineStr">
        <is>
          <t>Leah, your listing is ready. The next thing that decides who installs is the screenshots. I can design five captioned screenshots using your real screens, telling the story we planned. It is $250 and I will need your screens or a quick screen recording. Want me to send the offer?</t>
        </is>
      </c>
    </row>
    <row r="6" ht="80" customHeight="1">
      <c r="A6" s="26" t="inlineStr">
        <is>
          <t>Offer 3: Launch announcement pack</t>
        </is>
      </c>
      <c r="B6" s="27" t="inlineStr">
        <is>
          <t>Leah, launch is close. I can write your launch email, community post and pinned chat message in your voice so launch day is ready: $120. Shall I send it?</t>
        </is>
      </c>
    </row>
    <row r="7" ht="80" customHeight="1">
      <c r="A7" s="26" t="inlineStr">
        <is>
          <t>Offer 4: Welcome sequence</t>
        </is>
      </c>
      <c r="B7" s="27" t="inlineStr">
        <is>
          <t>Leah, the first week decides if new members stay. I can write and set up your Day 0, 1, 3, 7 and 14 messages: $180. Want me to send the offer?</t>
        </is>
      </c>
    </row>
    <row r="8" ht="80" customHeight="1">
      <c r="A8" s="26" t="inlineStr">
        <is>
          <t>Template: after any delivery</t>
        </is>
      </c>
      <c r="B8" s="27" t="inlineStr">
        <is>
          <t>Leah, here is [WHAT WAS DELIVERED]. How does it look? If you are happy, the next thing that helps most is [NEXT WIN], because [ONE SENTENCE OF VALUE]. It is $[PRICE]. Want me to send the offer, or would you rather wait?</t>
        </is>
      </c>
    </row>
    <row r="9" ht="80" customHeight="1">
      <c r="A9" s="26" t="inlineStr">
        <is>
          <t>If she says not now</t>
        </is>
      </c>
      <c r="B9" s="27" t="inlineStr">
        <is>
          <t>Of course, no pressure. I will keep it on the list and check in after launch week. Congratulations again on the launch.</t>
        </is>
      </c>
    </row>
    <row r="10" ht="80" customHeight="1">
      <c r="A10" s="26" t="inlineStr">
        <is>
          <t>If she asks for a discount</t>
        </is>
      </c>
      <c r="B10" s="27" t="inlineStr">
        <is>
          <t>I keep each job small and fixed so it stays easy. If the budget is tight, we can do the most important piece first and add the rest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2026-10-15T22:35:42Z</dcterms:created>
  <dcterms:modified xmlns:dcterms="http://purl.org/dc/terms/" xmlns:xsi="http://www.w3.org/2001/XMLSchema-instance" xsi:type="dcterms:W3CDTF">2026-10-15T22:35:42Z</dcterms:modified>
</cp:coreProperties>
</file>